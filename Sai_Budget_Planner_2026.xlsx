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756012_cognizant_com/Documents/"/>
    </mc:Choice>
  </mc:AlternateContent>
  <xr:revisionPtr revIDLastSave="320" documentId="8_{456B43B8-3FD8-4401-9034-718EFFB9C1E9}" xr6:coauthVersionLast="47" xr6:coauthVersionMax="47" xr10:uidLastSave="{1A538A40-F8F0-430F-9D23-22F58398F810}"/>
  <bookViews>
    <workbookView xWindow="-110" yWindow="-110" windowWidth="19420" windowHeight="10300" activeTab="2" xr2:uid="{DCC87189-3E15-4740-8941-468479260B8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F15" i="3"/>
  <c r="J8" i="3"/>
  <c r="L7" i="3"/>
  <c r="I7" i="3"/>
  <c r="E15" i="3"/>
  <c r="E7" i="3"/>
  <c r="E6" i="3"/>
  <c r="E5" i="3"/>
  <c r="E4" i="3"/>
  <c r="E3" i="3"/>
  <c r="E2" i="3"/>
  <c r="F46" i="1"/>
  <c r="F37" i="1"/>
  <c r="F25" i="1"/>
  <c r="F18" i="1"/>
  <c r="B11" i="1"/>
  <c r="J11" i="1"/>
  <c r="K10" i="1"/>
  <c r="K9" i="1"/>
  <c r="K11" i="1" s="1"/>
  <c r="F11" i="1"/>
  <c r="G10" i="1"/>
  <c r="G9" i="1"/>
  <c r="K5" i="1"/>
  <c r="K4" i="1"/>
  <c r="J6" i="1"/>
  <c r="K6" i="1"/>
  <c r="G5" i="1"/>
  <c r="G4" i="1"/>
  <c r="G6" i="1" s="1"/>
  <c r="F6" i="1"/>
  <c r="J16" i="1" l="1"/>
  <c r="G11" i="1"/>
  <c r="L3" i="1" s="1"/>
  <c r="J17" i="1"/>
  <c r="J18" i="1" l="1"/>
</calcChain>
</file>

<file path=xl/sharedStrings.xml><?xml version="1.0" encoding="utf-8"?>
<sst xmlns="http://schemas.openxmlformats.org/spreadsheetml/2006/main" count="86" uniqueCount="62">
  <si>
    <t>Sri Ganesha Namo</t>
  </si>
  <si>
    <t>Srikar</t>
  </si>
  <si>
    <t>1st Year</t>
  </si>
  <si>
    <t>Bus</t>
  </si>
  <si>
    <t>Total</t>
  </si>
  <si>
    <t>2nd Year</t>
  </si>
  <si>
    <t>3rd Year</t>
  </si>
  <si>
    <t>4th Year</t>
  </si>
  <si>
    <t>Fee</t>
  </si>
  <si>
    <t>Savings</t>
  </si>
  <si>
    <t>SBI - S</t>
  </si>
  <si>
    <t>HDFC - FD</t>
  </si>
  <si>
    <t>HDFC - R</t>
  </si>
  <si>
    <t>Cash</t>
  </si>
  <si>
    <t>Bal Fee</t>
  </si>
  <si>
    <t>2nd  Year</t>
  </si>
  <si>
    <t>SBI -S</t>
  </si>
  <si>
    <t>3rd  Year</t>
  </si>
  <si>
    <t>Fees</t>
  </si>
  <si>
    <t>SBI - R</t>
  </si>
  <si>
    <t>Others/Kotak</t>
  </si>
  <si>
    <t>Feb</t>
  </si>
  <si>
    <t>March</t>
  </si>
  <si>
    <t>April</t>
  </si>
  <si>
    <t>4th  Year</t>
  </si>
  <si>
    <t>Apprisal</t>
  </si>
  <si>
    <t>LIC</t>
  </si>
  <si>
    <t>May</t>
  </si>
  <si>
    <t>Adjustments</t>
  </si>
  <si>
    <t>1st &amp; 2nd</t>
  </si>
  <si>
    <t>3rd &amp; 4th</t>
  </si>
  <si>
    <t>Raghu Ring</t>
  </si>
  <si>
    <t>Stove Repaire</t>
  </si>
  <si>
    <t>Oven Repaire</t>
  </si>
  <si>
    <t>Cup Boards Repaire</t>
  </si>
  <si>
    <t>BathRoom Doors</t>
  </si>
  <si>
    <t>Switches replace</t>
  </si>
  <si>
    <t>Sofa Covers New</t>
  </si>
  <si>
    <t>Bed Sheets  Big -1</t>
  </si>
  <si>
    <t>Bed Sheets Small -2</t>
  </si>
  <si>
    <t>Tovels -2</t>
  </si>
  <si>
    <t>Cleaning Plants</t>
  </si>
  <si>
    <t>Cleaning Balcony</t>
  </si>
  <si>
    <t>Drop Old Clothes</t>
  </si>
  <si>
    <t>New Project</t>
  </si>
  <si>
    <t>Paint Work</t>
  </si>
  <si>
    <t>Change Glass in BR</t>
  </si>
  <si>
    <t>AC Child BR</t>
  </si>
  <si>
    <t>Fall Ceiling</t>
  </si>
  <si>
    <t>Demudu Room Glass</t>
  </si>
  <si>
    <t>Change Cookers</t>
  </si>
  <si>
    <t>New Bed in CBR</t>
  </si>
  <si>
    <t>Design Cup Boards</t>
  </si>
  <si>
    <t>Basic</t>
  </si>
  <si>
    <t>PF</t>
  </si>
  <si>
    <t>HRA</t>
  </si>
  <si>
    <t>CA</t>
  </si>
  <si>
    <t>Mobile</t>
  </si>
  <si>
    <t>SA</t>
  </si>
  <si>
    <t>IA</t>
  </si>
  <si>
    <t>PT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</si>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</sst>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0" fillId="3" borderId="0" xfId="0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0" xfId="0" applyNumberFormat="1"/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F8B1-576E-4C1A-B626-B0DE3E77FBEE}">
  <dimension ref="A2:L46"/>
  <sheetViews>
    <sheetView topLeftCell="A32" zoomScale="120" workbookViewId="0">
      <selection activeCell="H33" sqref="H33"/>
    </sheetView>
  </sheetViews>
  <sheetFormatPr defaultRowHeight="14.5" x14ac:dyDescent="0.35"/>
  <cols>
    <col min="1" max="1" width="15.7265625" bestFit="1" customWidth="1"/>
    <col min="5" max="5" width="11.54296875" bestFit="1" customWidth="1"/>
    <col min="6" max="6" width="10.1796875" customWidth="1"/>
    <col min="8" max="8" width="8.7265625" customWidth="1"/>
  </cols>
  <sheetData>
    <row r="2" spans="1:12" x14ac:dyDescent="0.35">
      <c r="A2" t="s">
        <v>0</v>
      </c>
    </row>
    <row r="3" spans="1:12" x14ac:dyDescent="0.35">
      <c r="D3" s="11" t="s">
        <v>1</v>
      </c>
      <c r="E3" s="12" t="s">
        <v>2</v>
      </c>
      <c r="F3" s="13"/>
      <c r="G3" s="14"/>
      <c r="H3" s="15"/>
      <c r="I3" s="12" t="s">
        <v>5</v>
      </c>
      <c r="J3" s="13"/>
      <c r="K3" s="14"/>
      <c r="L3" s="8">
        <f>G6+K6+G11+K11</f>
        <v>862000</v>
      </c>
    </row>
    <row r="4" spans="1:12" x14ac:dyDescent="0.35">
      <c r="D4" s="11"/>
      <c r="E4" s="1" t="s">
        <v>8</v>
      </c>
      <c r="F4" s="1">
        <v>223000</v>
      </c>
      <c r="G4" s="1">
        <f>F4-165000</f>
        <v>58000</v>
      </c>
      <c r="H4" s="15"/>
      <c r="I4" s="1" t="s">
        <v>8</v>
      </c>
      <c r="J4" s="1">
        <v>223000</v>
      </c>
      <c r="K4" s="1">
        <f>J4-0</f>
        <v>223000</v>
      </c>
      <c r="L4" s="9"/>
    </row>
    <row r="5" spans="1:12" x14ac:dyDescent="0.35">
      <c r="A5" t="s">
        <v>9</v>
      </c>
      <c r="D5" s="11"/>
      <c r="E5" s="1" t="s">
        <v>3</v>
      </c>
      <c r="F5" s="1">
        <v>45000</v>
      </c>
      <c r="G5" s="1">
        <f>F5-45000</f>
        <v>0</v>
      </c>
      <c r="H5" s="15"/>
      <c r="I5" s="1" t="s">
        <v>3</v>
      </c>
      <c r="J5" s="1">
        <v>45000</v>
      </c>
      <c r="K5" s="1">
        <f>J5-0</f>
        <v>45000</v>
      </c>
      <c r="L5" s="9"/>
    </row>
    <row r="6" spans="1:12" x14ac:dyDescent="0.35">
      <c r="A6" t="s">
        <v>10</v>
      </c>
      <c r="B6">
        <v>200000</v>
      </c>
      <c r="D6" s="11"/>
      <c r="E6" s="1" t="s">
        <v>4</v>
      </c>
      <c r="F6" s="1">
        <f>SUM(F4:F5)</f>
        <v>268000</v>
      </c>
      <c r="G6" s="1">
        <f>SUM(G4:G5)</f>
        <v>58000</v>
      </c>
      <c r="H6" s="15"/>
      <c r="I6" s="1" t="s">
        <v>4</v>
      </c>
      <c r="J6" s="1">
        <f>SUM(J4:J5)</f>
        <v>268000</v>
      </c>
      <c r="K6" s="1">
        <f>SUM(K4:K5)</f>
        <v>268000</v>
      </c>
      <c r="L6" s="9"/>
    </row>
    <row r="7" spans="1:12" x14ac:dyDescent="0.35">
      <c r="A7" t="s">
        <v>11</v>
      </c>
      <c r="B7">
        <v>75000</v>
      </c>
      <c r="D7" s="11"/>
      <c r="E7" s="5"/>
      <c r="F7" s="6"/>
      <c r="G7" s="7"/>
      <c r="H7" s="15"/>
      <c r="I7" s="5"/>
      <c r="J7" s="6"/>
      <c r="K7" s="7"/>
      <c r="L7" s="9"/>
    </row>
    <row r="8" spans="1:12" x14ac:dyDescent="0.35">
      <c r="A8" t="s">
        <v>12</v>
      </c>
      <c r="B8">
        <v>80000</v>
      </c>
      <c r="D8" s="11"/>
      <c r="E8" s="12" t="s">
        <v>6</v>
      </c>
      <c r="F8" s="13"/>
      <c r="G8" s="14"/>
      <c r="H8" s="15"/>
      <c r="I8" s="12" t="s">
        <v>7</v>
      </c>
      <c r="J8" s="13"/>
      <c r="K8" s="14"/>
      <c r="L8" s="9"/>
    </row>
    <row r="9" spans="1:12" x14ac:dyDescent="0.35">
      <c r="A9" t="s">
        <v>13</v>
      </c>
      <c r="B9">
        <v>65000</v>
      </c>
      <c r="D9" s="11"/>
      <c r="E9" s="1" t="s">
        <v>8</v>
      </c>
      <c r="F9" s="1">
        <v>223000</v>
      </c>
      <c r="G9" s="1">
        <f>F9-0</f>
        <v>223000</v>
      </c>
      <c r="H9" s="15"/>
      <c r="I9" s="1" t="s">
        <v>8</v>
      </c>
      <c r="J9" s="1">
        <v>223000</v>
      </c>
      <c r="K9" s="1">
        <f>J9-0</f>
        <v>223000</v>
      </c>
      <c r="L9" s="9"/>
    </row>
    <row r="10" spans="1:12" x14ac:dyDescent="0.35">
      <c r="A10" t="s">
        <v>19</v>
      </c>
      <c r="B10">
        <v>15000</v>
      </c>
      <c r="D10" s="11"/>
      <c r="E10" s="1" t="s">
        <v>3</v>
      </c>
      <c r="F10" s="1">
        <v>45000</v>
      </c>
      <c r="G10" s="1">
        <f>F10-0</f>
        <v>45000</v>
      </c>
      <c r="H10" s="15"/>
      <c r="I10" s="1" t="s">
        <v>3</v>
      </c>
      <c r="J10" s="1">
        <v>45000</v>
      </c>
      <c r="K10" s="1">
        <f>J10-0</f>
        <v>45000</v>
      </c>
      <c r="L10" s="9"/>
    </row>
    <row r="11" spans="1:12" x14ac:dyDescent="0.35">
      <c r="B11">
        <f>SUM(B6:B10)</f>
        <v>435000</v>
      </c>
      <c r="D11" s="11"/>
      <c r="E11" s="1" t="s">
        <v>4</v>
      </c>
      <c r="F11" s="1">
        <f>SUM(F9:F10)</f>
        <v>268000</v>
      </c>
      <c r="G11" s="1">
        <f>SUM(G9:G10)</f>
        <v>268000</v>
      </c>
      <c r="H11" s="15"/>
      <c r="I11" s="1" t="s">
        <v>4</v>
      </c>
      <c r="J11" s="1">
        <f>SUM(J9:J10)</f>
        <v>268000</v>
      </c>
      <c r="K11" s="1">
        <f>SUM(K9:K10)</f>
        <v>268000</v>
      </c>
      <c r="L11" s="10"/>
    </row>
    <row r="14" spans="1:12" x14ac:dyDescent="0.35">
      <c r="E14" s="1" t="s">
        <v>2</v>
      </c>
      <c r="F14" s="1"/>
    </row>
    <row r="15" spans="1:12" x14ac:dyDescent="0.35">
      <c r="E15" s="2" t="s">
        <v>14</v>
      </c>
      <c r="F15" s="2"/>
    </row>
    <row r="16" spans="1:12" x14ac:dyDescent="0.35">
      <c r="E16" s="1" t="s">
        <v>13</v>
      </c>
      <c r="F16" s="1">
        <v>58000</v>
      </c>
      <c r="I16" t="s">
        <v>29</v>
      </c>
      <c r="J16">
        <f>F18+F25</f>
        <v>326000</v>
      </c>
    </row>
    <row r="17" spans="5:10" x14ac:dyDescent="0.35">
      <c r="E17" s="1"/>
      <c r="F17" s="1"/>
      <c r="I17" t="s">
        <v>30</v>
      </c>
      <c r="J17">
        <f>F37+F46</f>
        <v>536000</v>
      </c>
    </row>
    <row r="18" spans="5:10" x14ac:dyDescent="0.35">
      <c r="E18" s="1"/>
      <c r="F18" s="1">
        <f>SUM(F16:F17)</f>
        <v>58000</v>
      </c>
      <c r="J18">
        <f>SUM(J16:J17)</f>
        <v>862000</v>
      </c>
    </row>
    <row r="19" spans="5:10" x14ac:dyDescent="0.35">
      <c r="E19" s="4"/>
      <c r="F19" s="4"/>
    </row>
    <row r="20" spans="5:10" x14ac:dyDescent="0.35">
      <c r="E20" s="1" t="s">
        <v>15</v>
      </c>
      <c r="F20" s="1"/>
    </row>
    <row r="21" spans="5:10" x14ac:dyDescent="0.35">
      <c r="E21" s="16" t="s">
        <v>18</v>
      </c>
      <c r="F21" s="16"/>
      <c r="H21" s="3"/>
      <c r="I21" s="3"/>
    </row>
    <row r="22" spans="5:10" x14ac:dyDescent="0.35">
      <c r="E22" s="1" t="s">
        <v>16</v>
      </c>
      <c r="F22" s="1">
        <v>245000</v>
      </c>
    </row>
    <row r="23" spans="5:10" x14ac:dyDescent="0.35">
      <c r="E23" s="1" t="s">
        <v>12</v>
      </c>
      <c r="F23" s="1">
        <v>23000</v>
      </c>
    </row>
    <row r="24" spans="5:10" x14ac:dyDescent="0.35">
      <c r="E24" s="1"/>
      <c r="F24" s="1"/>
    </row>
    <row r="25" spans="5:10" x14ac:dyDescent="0.35">
      <c r="E25" s="1"/>
      <c r="F25" s="1">
        <f>SUM(F22:F24)</f>
        <v>268000</v>
      </c>
    </row>
    <row r="26" spans="5:10" x14ac:dyDescent="0.35">
      <c r="E26" s="4"/>
      <c r="F26" s="4"/>
    </row>
    <row r="27" spans="5:10" x14ac:dyDescent="0.35">
      <c r="E27" s="12" t="s">
        <v>17</v>
      </c>
      <c r="F27" s="14"/>
    </row>
    <row r="28" spans="5:10" x14ac:dyDescent="0.35">
      <c r="E28" s="16" t="s">
        <v>18</v>
      </c>
      <c r="F28" s="16"/>
    </row>
    <row r="29" spans="5:10" x14ac:dyDescent="0.35">
      <c r="E29" s="1" t="s">
        <v>11</v>
      </c>
      <c r="F29" s="1">
        <v>75000</v>
      </c>
    </row>
    <row r="30" spans="5:10" x14ac:dyDescent="0.35">
      <c r="E30" s="1" t="s">
        <v>12</v>
      </c>
      <c r="F30" s="1">
        <v>57000</v>
      </c>
    </row>
    <row r="31" spans="5:10" x14ac:dyDescent="0.35">
      <c r="E31" s="1" t="s">
        <v>13</v>
      </c>
      <c r="F31" s="1">
        <v>7000</v>
      </c>
    </row>
    <row r="32" spans="5:10" x14ac:dyDescent="0.35">
      <c r="E32" s="1" t="s">
        <v>19</v>
      </c>
      <c r="F32" s="1">
        <v>15000</v>
      </c>
    </row>
    <row r="33" spans="5:6" x14ac:dyDescent="0.35">
      <c r="E33" s="1" t="s">
        <v>21</v>
      </c>
      <c r="F33" s="1">
        <v>40000</v>
      </c>
    </row>
    <row r="34" spans="5:6" x14ac:dyDescent="0.35">
      <c r="E34" s="1" t="s">
        <v>22</v>
      </c>
      <c r="F34" s="1">
        <v>40000</v>
      </c>
    </row>
    <row r="35" spans="5:6" x14ac:dyDescent="0.35">
      <c r="E35" s="1" t="s">
        <v>23</v>
      </c>
      <c r="F35" s="1">
        <v>25000</v>
      </c>
    </row>
    <row r="36" spans="5:6" x14ac:dyDescent="0.35">
      <c r="E36" s="1" t="s">
        <v>20</v>
      </c>
      <c r="F36" s="1">
        <v>9000</v>
      </c>
    </row>
    <row r="37" spans="5:6" x14ac:dyDescent="0.35">
      <c r="F37" s="1">
        <f>SUM(F29:F36)</f>
        <v>268000</v>
      </c>
    </row>
    <row r="38" spans="5:6" x14ac:dyDescent="0.35">
      <c r="E38" s="4"/>
      <c r="F38" s="4"/>
    </row>
    <row r="39" spans="5:6" x14ac:dyDescent="0.35">
      <c r="E39" s="12" t="s">
        <v>24</v>
      </c>
      <c r="F39" s="14"/>
    </row>
    <row r="40" spans="5:6" x14ac:dyDescent="0.35">
      <c r="E40" s="16" t="s">
        <v>18</v>
      </c>
      <c r="F40" s="16"/>
    </row>
    <row r="41" spans="5:6" x14ac:dyDescent="0.35">
      <c r="E41" s="1" t="s">
        <v>25</v>
      </c>
      <c r="F41" s="1">
        <v>75000</v>
      </c>
    </row>
    <row r="42" spans="5:6" x14ac:dyDescent="0.35">
      <c r="E42" s="1" t="s">
        <v>26</v>
      </c>
      <c r="F42" s="1">
        <v>125000</v>
      </c>
    </row>
    <row r="43" spans="5:6" x14ac:dyDescent="0.35">
      <c r="E43" s="1" t="s">
        <v>23</v>
      </c>
      <c r="F43" s="1">
        <v>15000</v>
      </c>
    </row>
    <row r="44" spans="5:6" x14ac:dyDescent="0.35">
      <c r="E44" s="1" t="s">
        <v>27</v>
      </c>
      <c r="F44" s="1">
        <v>40000</v>
      </c>
    </row>
    <row r="45" spans="5:6" x14ac:dyDescent="0.35">
      <c r="E45" s="1" t="s">
        <v>28</v>
      </c>
      <c r="F45" s="1">
        <v>13000</v>
      </c>
    </row>
    <row r="46" spans="5:6" x14ac:dyDescent="0.35">
      <c r="E46" s="1"/>
      <c r="F46" s="1">
        <f>SUM(F41:F45)</f>
        <v>268000</v>
      </c>
    </row>
  </sheetData>
  <mergeCells count="14">
    <mergeCell ref="E40:F40"/>
    <mergeCell ref="E21:F21"/>
    <mergeCell ref="E28:F28"/>
    <mergeCell ref="E27:F27"/>
    <mergeCell ref="E39:F39"/>
    <mergeCell ref="E7:G7"/>
    <mergeCell ref="I7:K7"/>
    <mergeCell ref="L3:L11"/>
    <mergeCell ref="D3:D11"/>
    <mergeCell ref="E8:G8"/>
    <mergeCell ref="I3:K3"/>
    <mergeCell ref="E3:G3"/>
    <mergeCell ref="I8:K8"/>
    <mergeCell ref="H3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614B-9DA2-4BA4-9990-EAB0B5ED1257}">
  <dimension ref="E1:I16"/>
  <sheetViews>
    <sheetView workbookViewId="0">
      <selection activeCell="I15" sqref="I15"/>
    </sheetView>
  </sheetViews>
  <sheetFormatPr defaultRowHeight="14.5" x14ac:dyDescent="0.35"/>
  <cols>
    <col min="5" max="5" width="16.7265625" bestFit="1" customWidth="1"/>
    <col min="9" max="9" width="16.08984375" bestFit="1" customWidth="1"/>
  </cols>
  <sheetData>
    <row r="1" spans="5:9" x14ac:dyDescent="0.35">
      <c r="E1" t="s">
        <v>44</v>
      </c>
    </row>
    <row r="2" spans="5:9" x14ac:dyDescent="0.35">
      <c r="E2" t="s">
        <v>31</v>
      </c>
    </row>
    <row r="3" spans="5:9" x14ac:dyDescent="0.35">
      <c r="E3" t="s">
        <v>32</v>
      </c>
      <c r="I3" t="s">
        <v>47</v>
      </c>
    </row>
    <row r="4" spans="5:9" x14ac:dyDescent="0.35">
      <c r="E4" t="s">
        <v>33</v>
      </c>
      <c r="I4" t="s">
        <v>45</v>
      </c>
    </row>
    <row r="5" spans="5:9" x14ac:dyDescent="0.35">
      <c r="E5" t="s">
        <v>34</v>
      </c>
      <c r="I5" t="s">
        <v>48</v>
      </c>
    </row>
    <row r="6" spans="5:9" x14ac:dyDescent="0.35">
      <c r="E6" t="s">
        <v>35</v>
      </c>
      <c r="I6" t="s">
        <v>50</v>
      </c>
    </row>
    <row r="7" spans="5:9" x14ac:dyDescent="0.35">
      <c r="E7" t="s">
        <v>36</v>
      </c>
      <c r="I7" t="s">
        <v>51</v>
      </c>
    </row>
    <row r="8" spans="5:9" x14ac:dyDescent="0.35">
      <c r="E8" t="s">
        <v>37</v>
      </c>
      <c r="I8" t="s">
        <v>52</v>
      </c>
    </row>
    <row r="9" spans="5:9" x14ac:dyDescent="0.35">
      <c r="E9" t="s">
        <v>38</v>
      </c>
    </row>
    <row r="10" spans="5:9" x14ac:dyDescent="0.35">
      <c r="E10" t="s">
        <v>39</v>
      </c>
    </row>
    <row r="11" spans="5:9" x14ac:dyDescent="0.35">
      <c r="E11" t="s">
        <v>40</v>
      </c>
    </row>
    <row r="12" spans="5:9" x14ac:dyDescent="0.35">
      <c r="E12" t="s">
        <v>41</v>
      </c>
    </row>
    <row r="13" spans="5:9" x14ac:dyDescent="0.35">
      <c r="E13" t="s">
        <v>42</v>
      </c>
    </row>
    <row r="14" spans="5:9" x14ac:dyDescent="0.35">
      <c r="E14" t="s">
        <v>43</v>
      </c>
    </row>
    <row r="15" spans="5:9" x14ac:dyDescent="0.35">
      <c r="E15" t="s">
        <v>49</v>
      </c>
    </row>
    <row r="16" spans="5:9" x14ac:dyDescent="0.35">
      <c r="E16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261E-54E1-4417-AAC5-C75543D1F474}">
  <dimension ref="C2:L16"/>
  <sheetViews>
    <sheetView tabSelected="1" workbookViewId="0">
      <selection activeCell="F17" sqref="F17"/>
    </sheetView>
  </sheetViews>
  <sheetFormatPr defaultRowHeight="14.5" x14ac:dyDescent="0.35"/>
  <sheetData>
    <row r="2" spans="3:12" x14ac:dyDescent="0.35">
      <c r="C2" t="s">
        <v>53</v>
      </c>
      <c r="D2" s="17">
        <v>73125</v>
      </c>
      <c r="E2">
        <f>D2*12</f>
        <v>877500</v>
      </c>
    </row>
    <row r="3" spans="3:12" x14ac:dyDescent="0.35">
      <c r="C3" t="s">
        <v>54</v>
      </c>
      <c r="D3">
        <v>8775</v>
      </c>
      <c r="E3">
        <f>D3*12</f>
        <v>105300</v>
      </c>
      <c r="H3" t="s">
        <v>53</v>
      </c>
      <c r="I3" s="17">
        <v>73125</v>
      </c>
      <c r="K3" t="s">
        <v>54</v>
      </c>
      <c r="L3">
        <v>8775</v>
      </c>
    </row>
    <row r="4" spans="3:12" x14ac:dyDescent="0.35">
      <c r="C4" t="s">
        <v>55</v>
      </c>
      <c r="D4">
        <v>43875</v>
      </c>
      <c r="E4">
        <f>D4*12</f>
        <v>526500</v>
      </c>
      <c r="H4" t="s">
        <v>56</v>
      </c>
      <c r="I4">
        <v>20000</v>
      </c>
      <c r="K4" t="s">
        <v>60</v>
      </c>
      <c r="L4">
        <v>200</v>
      </c>
    </row>
    <row r="5" spans="3:12" x14ac:dyDescent="0.35">
      <c r="C5" t="s">
        <v>56</v>
      </c>
      <c r="D5">
        <v>20000</v>
      </c>
      <c r="E5">
        <f>D5*12</f>
        <v>240000</v>
      </c>
      <c r="H5" t="s">
        <v>55</v>
      </c>
      <c r="I5">
        <v>43875</v>
      </c>
      <c r="K5" t="s">
        <v>61</v>
      </c>
      <c r="L5">
        <v>24141</v>
      </c>
    </row>
    <row r="6" spans="3:12" x14ac:dyDescent="0.35">
      <c r="C6" t="s">
        <v>57</v>
      </c>
      <c r="D6">
        <v>1000</v>
      </c>
      <c r="E6">
        <f>D6*12</f>
        <v>12000</v>
      </c>
      <c r="H6" t="s">
        <v>58</v>
      </c>
      <c r="I6">
        <v>62098</v>
      </c>
    </row>
    <row r="7" spans="3:12" x14ac:dyDescent="0.35">
      <c r="C7" t="s">
        <v>58</v>
      </c>
      <c r="D7">
        <v>62098</v>
      </c>
      <c r="E7">
        <f>D7*12</f>
        <v>745176</v>
      </c>
      <c r="I7" s="17">
        <f>SUM(I3:I6)</f>
        <v>199098</v>
      </c>
      <c r="L7">
        <f>SUM(L3:L6)</f>
        <v>33116</v>
      </c>
    </row>
    <row r="8" spans="3:12" x14ac:dyDescent="0.35">
      <c r="C8" t="s">
        <v>59</v>
      </c>
      <c r="D8">
        <v>12500</v>
      </c>
      <c r="J8" s="18">
        <f>I7-L7</f>
        <v>165982</v>
      </c>
      <c r="K8" s="19"/>
      <c r="L8" s="19"/>
    </row>
    <row r="9" spans="3:12" x14ac:dyDescent="0.35">
      <c r="J9" s="19"/>
      <c r="K9" s="19"/>
      <c r="L9" s="19"/>
    </row>
    <row r="15" spans="3:12" x14ac:dyDescent="0.35">
      <c r="E15">
        <f>SUM(E2:E14)</f>
        <v>2506476</v>
      </c>
      <c r="F15">
        <f>E15*35%</f>
        <v>877266.6</v>
      </c>
    </row>
    <row r="16" spans="3:12" x14ac:dyDescent="0.35">
      <c r="F16">
        <f>F15*12%</f>
        <v>105271.992</v>
      </c>
    </row>
  </sheetData>
  <mergeCells count="1">
    <mergeCell ref="J8:L9"/>
  </mergeCells>
  <pageMargins left="0.7" right="0.7" top="0.75" bottom="0.75" header="0.3" footer="0.3"/>
  <pageSetup paperSize="17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Yugandhar Venkata Ramana, Ganala (Cognizant)</dc:creator>
  <cp:lastModifiedBy>Yugandhar Venkata Ramana, Ganala (Cognizant)</cp:lastModifiedBy>
  <dcterms:created xsi:type="dcterms:W3CDTF">2026-01-21T02:59:35Z</dcterms:created>
  <dcterms:modified xsi:type="dcterms:W3CDTF">2026-02-06T07:17:59Z</dcterms:modified>
</cp:coreProperties>
</file>